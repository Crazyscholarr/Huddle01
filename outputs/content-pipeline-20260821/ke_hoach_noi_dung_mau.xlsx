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Kế hoạch sản xuất" sheetId="2" state="visible" r:id="rId2"/>
    <sheet name="Cụm Series" sheetId="3" state="visible" r:id="rId3"/>
    <sheet name="Dữ liệu gốc" sheetId="4" state="visible" r:id="rId4"/>
    <sheet name="Cấu hình" sheetId="5" state="visible" r:id="rId5"/>
    <sheet name="Prompt mẫu" sheetId="6" state="visible" r:id="rId6"/>
  </sheets>
  <definedNames>
    <definedName name="_xlnm._FilterDatabase" localSheetId="1" hidden="1">'Kế hoạch sản xuất'!$A$4:$AQ$7</definedName>
    <definedName name="_xlnm._FilterDatabase" localSheetId="3" hidden="1">'Dữ liệu gốc'!$A$1:$H$4</definedName>
  </definedNames>
  <calcPr calcId="124519" fullCalcOnLoad="1" forceFullCalc="1"/>
</workbook>
</file>

<file path=xl/styles.xml><?xml version="1.0" encoding="utf-8"?>
<styleSheet xmlns="http://schemas.openxmlformats.org/spreadsheetml/2006/main">
  <numFmts count="0"/>
  <fonts count="7">
    <font>
      <name val="Calibri"/>
      <family val="2"/>
      <color theme="1"/>
      <sz val="11"/>
      <scheme val="minor"/>
    </font>
    <font>
      <b val="1"/>
      <color rgb="00FFFFFF"/>
    </font>
    <font>
      <b val="1"/>
      <color rgb="00FFFFFF"/>
      <sz val="16"/>
    </font>
    <font>
      <i val="1"/>
      <color rgb="0060758A"/>
    </font>
    <font>
      <b val="1"/>
      <color rgb="00FFFFFF"/>
      <sz val="18"/>
    </font>
    <font>
      <b val="1"/>
      <color rgb="000B1626"/>
      <sz val="20"/>
    </font>
    <font>
      <b val="1"/>
      <color rgb="000B1626"/>
      <sz val="13"/>
    </font>
  </fonts>
  <fills count="7">
    <fill>
      <patternFill/>
    </fill>
    <fill>
      <patternFill patternType="gray125"/>
    </fill>
    <fill>
      <patternFill patternType="solid">
        <fgColor rgb="000B1626"/>
      </patternFill>
    </fill>
    <fill>
      <patternFill patternType="solid">
        <fgColor rgb="00FFF7CC"/>
      </patternFill>
    </fill>
    <fill>
      <patternFill patternType="solid">
        <fgColor rgb="000F766E"/>
      </patternFill>
    </fill>
    <fill>
      <patternFill patternType="solid">
        <fgColor rgb="00E8F7F6"/>
      </patternFill>
    </fill>
    <fill>
      <patternFill patternType="solid">
        <fgColor rgb="00F8FAFC"/>
      </patternFill>
    </fill>
  </fills>
  <borders count="3">
    <border>
      <left/>
      <right/>
      <top/>
      <bottom/>
      <diagonal/>
    </border>
    <border>
      <bottom style="medium">
        <color rgb="0014D8D4"/>
      </bottom>
    </border>
    <border>
      <left style="thin">
        <color rgb="00CBD5E1"/>
      </left>
      <right style="thin">
        <color rgb="00CBD5E1"/>
      </right>
      <top style="thin">
        <color rgb="00CBD5E1"/>
      </top>
      <bottom style="thin">
        <color rgb="00CBD5E1"/>
      </bottom>
    </border>
  </borders>
  <cellStyleXfs count="1">
    <xf numFmtId="0" fontId="0" fillId="0" borderId="0"/>
  </cellStyleXfs>
  <cellXfs count="16">
    <xf numFmtId="0" fontId="0" fillId="0" borderId="0" pivotButton="0" quotePrefix="0" xfId="0"/>
    <xf numFmtId="0" fontId="4" fillId="2" borderId="0" applyAlignment="1" pivotButton="0" quotePrefix="0" xfId="0">
      <alignment horizontal="left" vertical="center"/>
    </xf>
    <xf numFmtId="0" fontId="1" fillId="4" borderId="0" pivotButton="0" quotePrefix="0" xfId="0"/>
    <xf numFmtId="0" fontId="5" fillId="5" borderId="0" applyAlignment="1" pivotButton="0" quotePrefix="0" xfId="0">
      <alignment horizontal="center" vertical="center"/>
    </xf>
    <xf numFmtId="0" fontId="6" fillId="0" borderId="0" pivotButton="0" quotePrefix="0" xfId="0"/>
    <xf numFmtId="0" fontId="0" fillId="6" borderId="2" applyAlignment="1" pivotButton="0" quotePrefix="0" xfId="0">
      <alignment vertical="top" wrapText="1"/>
    </xf>
    <xf numFmtId="0" fontId="2" fillId="2" borderId="0" applyAlignment="1" pivotButton="0" quotePrefix="0" xfId="0">
      <alignment horizontal="left" vertical="center"/>
    </xf>
    <xf numFmtId="0" fontId="3" fillId="0" borderId="0" applyAlignment="1" pivotButton="0" quotePrefix="0" xfId="0">
      <alignment wrapText="1"/>
    </xf>
    <xf numFmtId="0" fontId="1" fillId="2" borderId="1" applyAlignment="1" pivotButton="0" quotePrefix="0" xfId="0">
      <alignment horizontal="center" vertical="center" wrapText="1"/>
    </xf>
    <xf numFmtId="0" fontId="0" fillId="0" borderId="0" applyAlignment="1" pivotButton="0" quotePrefix="0" xfId="0">
      <alignment vertical="top"/>
    </xf>
    <xf numFmtId="0" fontId="0" fillId="3"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wrapText="1"/>
    </xf>
    <xf numFmtId="0" fontId="1" fillId="2" borderId="0" pivotButton="0" quotePrefix="0" xfId="0"/>
    <xf numFmtId="9" fontId="0" fillId="3" borderId="0" pivotButton="0" quotePrefix="0" xfId="0"/>
    <xf numFmtId="0" fontId="0" fillId="3" borderId="0" pivotButton="0" quotePrefix="0" xfId="0"/>
  </cellXfs>
  <cellStyles count="1">
    <cellStyle name="Normal" xfId="0" builtinId="0" hidden="0"/>
  </cellStyles>
  <dxfs count="3">
    <dxf>
      <fill>
        <patternFill patternType="solid">
          <fgColor rgb="00DCFCE7"/>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10"/>
  <chart>
    <title>
      <tx>
        <rich>
          <a:bodyPr/>
          <a:p>
            <a:pPr>
              <a:defRPr/>
            </a:pPr>
            <a:r>
              <a:t>Số ý tưởng theo Series</a:t>
            </a:r>
          </a:p>
        </rich>
      </tx>
    </title>
    <plotArea>
      <barChart>
        <barDir val="bar"/>
        <grouping val="clustered"/>
        <ser>
          <idx val="0"/>
          <order val="0"/>
          <tx>
            <strRef>
              <f>'Cụm Series'!B1</f>
            </strRef>
          </tx>
          <spPr>
            <a:ln>
              <a:prstDash val="solid"/>
            </a:ln>
          </spPr>
          <cat>
            <numRef>
              <f>'Cụm Series'!$A$2:$A$4</f>
            </numRef>
          </cat>
          <val>
            <numRef>
              <f>'Cụm Series'!$B$2:$B$4</f>
            </numRef>
          </val>
        </ser>
        <gapWidth val="150"/>
        <axId val="10"/>
        <axId val="100"/>
      </barChart>
      <catAx>
        <axId val="10"/>
        <scaling>
          <orientation val="minMax"/>
        </scaling>
        <axPos val="l"/>
        <title>
          <tx>
            <rich>
              <a:bodyPr/>
              <a:p>
                <a:pPr>
                  <a:defRPr/>
                </a:pPr>
                <a:r>
                  <a:t>Số ý tưởng</a:t>
                </a:r>
              </a:p>
            </rich>
          </tx>
        </title>
        <majorTickMark val="none"/>
        <minorTickMark val="none"/>
        <crossAx val="100"/>
        <lblOffset val="100"/>
      </catAx>
      <valAx>
        <axId val="100"/>
        <scaling>
          <orientation val="minMax"/>
        </scaling>
        <axPos val="l"/>
        <majorGridlines/>
        <title>
          <tx>
            <rich>
              <a:bodyPr/>
              <a:p>
                <a:pPr>
                  <a:defRPr/>
                </a:pPr>
                <a:r>
                  <a:t>Series</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AutoDubVN</author>
  </authors>
  <commentList>
    <comment ref="L4" authorId="0" shapeId="0">
      <text>
        <t>Hook × trọng số + Plot Twist × trọng số + mức dễ sản xuất × trọng số.</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ProductionPlan" displayName="ProductionPlan" ref="A4:AQ7" headerRowCount="1">
  <autoFilter ref="A4:AQ7"/>
  <tableColumns count="43">
    <tableColumn id="1" name="ID"/>
    <tableColumn id="2" name="Chọn sản xuất"/>
    <tableColumn id="3" name="Tiêu đề gốc"/>
    <tableColumn id="4" name="Nguồn"/>
    <tableColumn id="5" name="URL nguồn"/>
    <tableColumn id="6" name="Tác giả"/>
    <tableColumn id="7" name="Ngày đăng"/>
    <tableColumn id="8" name="Thể loại (chính)"/>
    <tableColumn id="9" name="Cảm xúc chủ đạo"/>
    <tableColumn id="10" name="Điểm Hook"/>
    <tableColumn id="11" name="Điểm Plot Twist"/>
    <tableColumn id="12" name="Điểm ưu tiên"/>
    <tableColumn id="13" name="Chủ đề"/>
    <tableColumn id="14" name="Series"/>
    <tableColumn id="15" name="Từ khóa gợi ý"/>
    <tableColumn id="16" name="Tag gợi ý"/>
    <tableColumn id="17" name="Số từ"/>
    <tableColumn id="18" name="Ước lượng thời lượng (phút)"/>
    <tableColumn id="19" name="Dễ dàng sản xuất"/>
    <tableColumn id="20" name="Khuyến nghị"/>
    <tableColumn id="21" name="Thời điểm đăng tối ưu"/>
    <tableColumn id="22" name="Tiêu đề 1"/>
    <tableColumn id="23" name="Tiêu đề 2"/>
    <tableColumn id="24" name="Tiêu đề 3"/>
    <tableColumn id="25" name="Tiêu đề 4"/>
    <tableColumn id="26" name="Tiêu đề 5"/>
    <tableColumn id="27" name="Tiêu đề 6"/>
    <tableColumn id="28" name="Tiêu đề 7"/>
    <tableColumn id="29" name="Tiêu đề 8"/>
    <tableColumn id="30" name="Tiêu đề 9"/>
    <tableColumn id="31" name="Tiêu đề 10"/>
    <tableColumn id="32" name="Mô tả 1"/>
    <tableColumn id="33" name="Mô tả 2"/>
    <tableColumn id="34" name="Mô tả 3"/>
    <tableColumn id="35" name="Thumbnail 1"/>
    <tableColumn id="36" name="Thumbnail 2"/>
    <tableColumn id="37" name="Thumbnail 3"/>
    <tableColumn id="38" name="Outline (dàn ý 3 phần)"/>
    <tableColumn id="39" name="Các nhân vật chính"/>
    <tableColumn id="40" name="Trạng thái sản xuất"/>
    <tableColumn id="41" name="Ghi chú"/>
    <tableColumn id="42" name="Provider AI"/>
    <tableColumn id="43" name="Lỗi AI"/>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11"/>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BẢNG ƯU TIÊN SẢN XUẤT NỘI DUNG</t>
        </is>
      </c>
    </row>
    <row r="2"/>
    <row r="4">
      <c r="A4" s="2" t="inlineStr">
        <is>
          <t>Tổng ý tưởng</t>
        </is>
      </c>
      <c r="C4" s="2" t="inlineStr">
        <is>
          <t>Nên làm</t>
        </is>
      </c>
      <c r="E4" s="2" t="inlineStr">
        <is>
          <t>Hook TB</t>
        </is>
      </c>
      <c r="G4" s="2" t="inlineStr">
        <is>
          <t>Twist TB</t>
        </is>
      </c>
    </row>
    <row r="5">
      <c r="A5" s="3">
        <f>COUNTA('Kế hoạch sản xuất'!$A$5:$A$7)</f>
        <v/>
      </c>
      <c r="C5" s="3">
        <f>COUNTIF('Kế hoạch sản xuất'!$T$5:$T$7,"Nên làm")</f>
        <v/>
      </c>
      <c r="E5" s="3">
        <f>ROUND(AVERAGE('Kế hoạch sản xuất'!$J$5:$J$7),1)</f>
        <v/>
      </c>
      <c r="G5" s="3">
        <f>ROUND(AVERAGE('Kế hoạch sản xuất'!$K$5:$K$7),1)</f>
        <v/>
      </c>
    </row>
    <row r="6"/>
    <row r="8">
      <c r="A8" s="4" t="inlineStr">
        <is>
          <t>Cách dùng</t>
        </is>
      </c>
    </row>
    <row r="9">
      <c r="A9" s="5" t="inlineStr">
        <is>
          <t>1) Lọc Khuyến nghị = Nên làm. 2) Chọn một Tiêu đề AI và chỉnh ô vàng. 3) Đổi Chọn sản xuất = Có. 4) Trong AutoDubVN bấm Dùng trong AI Story để chuyển tiêu đề, outline, tag và mô tả sang quy trình dựng video.</t>
        </is>
      </c>
    </row>
    <row r="10"/>
    <row r="11"/>
  </sheetData>
  <mergeCells count="10">
    <mergeCell ref="A4:B4"/>
    <mergeCell ref="G4:H4"/>
    <mergeCell ref="E4:F4"/>
    <mergeCell ref="C5:D6"/>
    <mergeCell ref="A5:B6"/>
    <mergeCell ref="G5:H6"/>
    <mergeCell ref="E5:F6"/>
    <mergeCell ref="A9:H11"/>
    <mergeCell ref="A1:H2"/>
    <mergeCell ref="C4:D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Q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0" customWidth="1" min="1" max="1"/>
    <col width="14" customWidth="1" min="2" max="2"/>
    <col width="34" customWidth="1" min="3" max="3"/>
    <col width="16" customWidth="1" min="4" max="4"/>
    <col width="32" customWidth="1" min="5" max="5"/>
    <col width="18" customWidth="1" min="6" max="6"/>
    <col width="16" customWidth="1" min="7" max="7"/>
    <col width="23" customWidth="1" min="8" max="8"/>
    <col width="18" customWidth="1" min="9" max="9"/>
    <col width="11" customWidth="1" min="10" max="10"/>
    <col width="13" customWidth="1" min="11" max="11"/>
    <col width="12" customWidth="1" min="12" max="12"/>
    <col width="28" customWidth="1" min="13" max="13"/>
    <col width="30" customWidth="1" min="14" max="14"/>
    <col width="30" customWidth="1" min="15" max="15"/>
    <col width="30" customWidth="1" min="16" max="16"/>
    <col width="11" customWidth="1" min="17" max="17"/>
    <col width="17" customWidth="1" min="18" max="18"/>
    <col width="17" customWidth="1" min="19" max="19"/>
    <col width="15" customWidth="1" min="20" max="20"/>
    <col width="27"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52" customWidth="1" min="32" max="32"/>
    <col width="52" customWidth="1" min="33" max="33"/>
    <col width="52" customWidth="1" min="34" max="34"/>
    <col width="50" customWidth="1" min="35" max="35"/>
    <col width="50" customWidth="1" min="36" max="36"/>
    <col width="50" customWidth="1" min="37" max="37"/>
    <col width="58" customWidth="1" min="38" max="38"/>
    <col width="32" customWidth="1" min="39" max="39"/>
    <col width="20" customWidth="1" min="40" max="40"/>
    <col width="30" customWidth="1" min="41" max="41"/>
    <col width="24" customWidth="1" min="42" max="42"/>
    <col width="42" customWidth="1" min="43" max="43"/>
  </cols>
  <sheetData>
    <row r="1" ht="32" customHeight="1">
      <c r="A1" s="6" t="inlineStr">
        <is>
          <t>GỐC MÍT KỂ CHUYỆN · KẾ HOẠCH SẢN XUẤT YOUTUBE</t>
        </is>
      </c>
    </row>
    <row r="2">
      <c r="A2" s="7" t="inlineStr">
        <is>
          <t>Ô vàng là trường có thể chỉnh. Điểm ưu tiên và Khuyến nghị là công thức; lọc 'Nên làm' để đưa thẳng sang AutoDubVN.</t>
        </is>
      </c>
    </row>
    <row r="4" ht="42" customHeight="1">
      <c r="A4" s="8" t="inlineStr">
        <is>
          <t>ID</t>
        </is>
      </c>
      <c r="B4" s="8" t="inlineStr">
        <is>
          <t>Chọn sản xuất</t>
        </is>
      </c>
      <c r="C4" s="8" t="inlineStr">
        <is>
          <t>Tiêu đề gốc</t>
        </is>
      </c>
      <c r="D4" s="8" t="inlineStr">
        <is>
          <t>Nguồn</t>
        </is>
      </c>
      <c r="E4" s="8" t="inlineStr">
        <is>
          <t>URL nguồn</t>
        </is>
      </c>
      <c r="F4" s="8" t="inlineStr">
        <is>
          <t>Tác giả</t>
        </is>
      </c>
      <c r="G4" s="8" t="inlineStr">
        <is>
          <t>Ngày đăng</t>
        </is>
      </c>
      <c r="H4" s="8" t="inlineStr">
        <is>
          <t>Thể loại (chính)</t>
        </is>
      </c>
      <c r="I4" s="8" t="inlineStr">
        <is>
          <t>Cảm xúc chủ đạo</t>
        </is>
      </c>
      <c r="J4" s="8" t="inlineStr">
        <is>
          <t>Điểm Hook</t>
        </is>
      </c>
      <c r="K4" s="8" t="inlineStr">
        <is>
          <t>Điểm Plot Twist</t>
        </is>
      </c>
      <c r="L4" s="8" t="inlineStr">
        <is>
          <t>Điểm ưu tiên</t>
        </is>
      </c>
      <c r="M4" s="8" t="inlineStr">
        <is>
          <t>Chủ đề</t>
        </is>
      </c>
      <c r="N4" s="8" t="inlineStr">
        <is>
          <t>Series</t>
        </is>
      </c>
      <c r="O4" s="8" t="inlineStr">
        <is>
          <t>Từ khóa gợi ý</t>
        </is>
      </c>
      <c r="P4" s="8" t="inlineStr">
        <is>
          <t>Tag gợi ý</t>
        </is>
      </c>
      <c r="Q4" s="8" t="inlineStr">
        <is>
          <t>Số từ</t>
        </is>
      </c>
      <c r="R4" s="8" t="inlineStr">
        <is>
          <t>Ước lượng thời lượng (phút)</t>
        </is>
      </c>
      <c r="S4" s="8" t="inlineStr">
        <is>
          <t>Dễ dàng sản xuất</t>
        </is>
      </c>
      <c r="T4" s="8" t="inlineStr">
        <is>
          <t>Khuyến nghị</t>
        </is>
      </c>
      <c r="U4" s="8" t="inlineStr">
        <is>
          <t>Thời điểm đăng tối ưu</t>
        </is>
      </c>
      <c r="V4" s="8" t="inlineStr">
        <is>
          <t>Tiêu đề 1</t>
        </is>
      </c>
      <c r="W4" s="8" t="inlineStr">
        <is>
          <t>Tiêu đề 2</t>
        </is>
      </c>
      <c r="X4" s="8" t="inlineStr">
        <is>
          <t>Tiêu đề 3</t>
        </is>
      </c>
      <c r="Y4" s="8" t="inlineStr">
        <is>
          <t>Tiêu đề 4</t>
        </is>
      </c>
      <c r="Z4" s="8" t="inlineStr">
        <is>
          <t>Tiêu đề 5</t>
        </is>
      </c>
      <c r="AA4" s="8" t="inlineStr">
        <is>
          <t>Tiêu đề 6</t>
        </is>
      </c>
      <c r="AB4" s="8" t="inlineStr">
        <is>
          <t>Tiêu đề 7</t>
        </is>
      </c>
      <c r="AC4" s="8" t="inlineStr">
        <is>
          <t>Tiêu đề 8</t>
        </is>
      </c>
      <c r="AD4" s="8" t="inlineStr">
        <is>
          <t>Tiêu đề 9</t>
        </is>
      </c>
      <c r="AE4" s="8" t="inlineStr">
        <is>
          <t>Tiêu đề 10</t>
        </is>
      </c>
      <c r="AF4" s="8" t="inlineStr">
        <is>
          <t>Mô tả 1</t>
        </is>
      </c>
      <c r="AG4" s="8" t="inlineStr">
        <is>
          <t>Mô tả 2</t>
        </is>
      </c>
      <c r="AH4" s="8" t="inlineStr">
        <is>
          <t>Mô tả 3</t>
        </is>
      </c>
      <c r="AI4" s="8" t="inlineStr">
        <is>
          <t>Thumbnail 1</t>
        </is>
      </c>
      <c r="AJ4" s="8" t="inlineStr">
        <is>
          <t>Thumbnail 2</t>
        </is>
      </c>
      <c r="AK4" s="8" t="inlineStr">
        <is>
          <t>Thumbnail 3</t>
        </is>
      </c>
      <c r="AL4" s="8" t="inlineStr">
        <is>
          <t>Outline (dàn ý 3 phần)</t>
        </is>
      </c>
      <c r="AM4" s="8" t="inlineStr">
        <is>
          <t>Các nhân vật chính</t>
        </is>
      </c>
      <c r="AN4" s="8" t="inlineStr">
        <is>
          <t>Trạng thái sản xuất</t>
        </is>
      </c>
      <c r="AO4" s="8" t="inlineStr">
        <is>
          <t>Ghi chú</t>
        </is>
      </c>
      <c r="AP4" s="8" t="inlineStr">
        <is>
          <t>Provider AI</t>
        </is>
      </c>
      <c r="AQ4" s="8" t="inlineStr">
        <is>
          <t>Lỗi AI</t>
        </is>
      </c>
    </row>
    <row r="5" ht="48" customHeight="1">
      <c r="A5" s="9" t="inlineStr">
        <is>
          <t>idea_1b40457fa3ad1a9a</t>
        </is>
      </c>
      <c r="B5" s="10" t="inlineStr">
        <is>
          <t>Không</t>
        </is>
      </c>
      <c r="C5" s="11" t="inlineStr">
        <is>
          <t>Ba người con tranh căn nhà của mẹ già</t>
        </is>
      </c>
      <c r="D5" s="11" t="inlineStr">
        <is>
          <t>VnExpress Tâm sự</t>
        </is>
      </c>
      <c r="E5" s="11" t="inlineStr">
        <is>
          <t>https://vnexpress.net/tam-su</t>
        </is>
      </c>
      <c r="F5" s="11" t="inlineStr"/>
      <c r="G5" s="11" t="inlineStr"/>
      <c r="H5" s="12" t="inlineStr">
        <is>
          <t>Tranh chấp thừa kế</t>
        </is>
      </c>
      <c r="I5" s="12" t="inlineStr">
        <is>
          <t>Sốc</t>
        </is>
      </c>
      <c r="J5" s="12" t="n">
        <v>4</v>
      </c>
      <c r="K5" s="12" t="n">
        <v>8</v>
      </c>
      <c r="L5" s="11">
        <f>ROUND(J5*'Cấu hình'!$B$2+K5*'Cấu hình'!$B$3+IF(S5="Cao",10,IF(S5="Trung",6,3))*'Cấu hình'!$B$4,1)</f>
        <v/>
      </c>
      <c r="M5" s="12" t="inlineStr">
        <is>
          <t>Tranh chấp thừa kế, Cô đơn tuổi già</t>
        </is>
      </c>
      <c r="N5" s="12" t="inlineStr">
        <is>
          <t>Series Tranh chấp thừa kế · Kẻ tham gia sản</t>
        </is>
      </c>
      <c r="O5" s="12" t="inlineStr">
        <is>
          <t>Tranh chấp thừa kế, Cô đơn tuổi già, Sốc, chuyện gia đình, tuổi già, nhân quả</t>
        </is>
      </c>
      <c r="P5" s="12" t="inlineStr">
        <is>
          <t>kể chuyện đêm khuya, chuyện tuổi già, chuyện làng quê, Tranh chấp thừa kế, Cô đơn tuổi già</t>
        </is>
      </c>
      <c r="Q5" s="11" t="n">
        <v>5640</v>
      </c>
      <c r="R5" s="11">
        <f>ROUND(Q5/'Cấu hình'!$B$7,1)</f>
        <v/>
      </c>
      <c r="S5" s="12" t="inlineStr">
        <is>
          <t>Cao</t>
        </is>
      </c>
      <c r="T5" s="11">
        <f>IF(L5&gt;='Cấu hình'!$B$5,"Nên làm",IF(L5&gt;='Cấu hình'!$B$6,"Chờ đợi","Không nên làm"))</f>
        <v/>
      </c>
      <c r="U5" s="12" t="inlineStr">
        <is>
          <t>19:30–21:00, ưu tiên Thứ Năm hoặc Chủ Nhật</t>
        </is>
      </c>
      <c r="V5" s="11" t="inlineStr">
        <is>
          <t>Nghe Mà Thấm : BA NGƯỜI CON TRANH CĂN NHÀ CỦA MẸ GIÀ | Kể Chuyện Đêm Khuya</t>
        </is>
      </c>
      <c r="W5" s="11" t="inlineStr">
        <is>
          <t>Nghe THẤM Tận Xương : BA NGƯỜI CON TRANH CĂN NHÀ CỦA MẸ GIÀ | Đọc Truyện Đêm Khuya</t>
        </is>
      </c>
      <c r="X5" s="11" t="inlineStr">
        <is>
          <t>Nghe Là Khóc : BA NGƯỜI CON TRANH CĂN NHÀ CỦA MẸ GIÀ | Kể Chuyện Tuổi Già</t>
        </is>
      </c>
      <c r="Y5" s="11" t="inlineStr">
        <is>
          <t>Nghe Mà Nghẹn Lòng : BA NGƯỜI CON TRANH CĂN NHÀ CỦA MẸ GIÀ | Kể Chuyện Làng Quê</t>
        </is>
      </c>
      <c r="Z5" s="11" t="inlineStr">
        <is>
          <t>Nghe Mà Rơi Nước Mắt : BA NGƯỜI CON TRANH CĂN NHÀ CỦA MẸ GIÀ SAU BỮA CƠM GIỖ | Kể Chuyện Đêm Khuya</t>
        </is>
      </c>
      <c r="AA5" s="11" t="inlineStr">
        <is>
          <t>Nghe Sướng Lỗ Tai : BA NGƯỜI CON TRANH CĂN NHÀ CỦA MẸ GIÀ | Kể Chuyện Tuổi Già</t>
        </is>
      </c>
      <c r="AB5" s="11" t="inlineStr">
        <is>
          <t>Nghe Mà Sốc : BA NGƯỜI CON TRANH CĂN NHÀ CỦA MẸ GIÀ | Đọc Truyện Đêm Khuya</t>
        </is>
      </c>
      <c r="AC5" s="11" t="inlineStr">
        <is>
          <t>Truyện Ngắn Tuổi Xế Chiều Cực Hay : BA NGƯỜI CON TRANH CĂN NHÀ CỦA MẸ GIÀ | Kể Chuyện Làng Quê</t>
        </is>
      </c>
      <c r="AD5" s="11" t="inlineStr">
        <is>
          <t>Nghe Mà Thấm : BA NGƯỜI CON TRANH CĂN NHÀ CỦA MẸ GIÀ | Kể Chuyện Tuổi Già</t>
        </is>
      </c>
      <c r="AE5" s="11" t="inlineStr">
        <is>
          <t>Nghe Mà Sốc : BA NGƯỜI CON TRANH CĂN NHÀ CỦA MẸ GIÀ | Kể Chuyện Đêm Khuya</t>
        </is>
      </c>
      <c r="AF5" s="11" t="inlineStr">
        <is>
          <t>Một biến cố về tranh chấp thừa kế đã đẩy cả gia đình đến lúc phải đối diện sự thật. Câu chuyện mang màu sắc sốc, có nhiều lớp mâu thuẫn và những lựa chọn khiến người nghe phải suy ngẫm. Câu chuyện được sáng tạo lại từ một mô-típ gia đình, toàn bộ nhân vật và bối cảnh đều hư cấu. Cô chú, anh chị hãy để lại cảm nhận và đăng ký để đồng hành cùng những câu chuyện mới. #kechuyen #tuoigia #giadinh</t>
        </is>
      </c>
      <c r="AG5" s="11" t="inlineStr">
        <is>
          <t>Khi tình thân bị thử thách bởi tranh chấp thừa kế, ai mới là người giữ được nghĩa tình? Bản kể tập trung vào xung đột đời thường, cách đối nhân xử thế và bài học dành cho mỗi gia đình Việt. Câu chuyện được sáng tạo lại từ một mô-típ gia đình, toàn bộ nhân vật và bối cảnh đều hư cấu. Mời mọi người nghe đến cuối và chia sẻ góc nhìn của mình. #truyendemkhuya #langque #chuyengiadinh</t>
        </is>
      </c>
      <c r="AH5" s="11" t="inlineStr">
        <is>
          <t>Từ một tình huống sốc, câu chuyện mở ra những bí mật, hiểu lầm và món nợ tình thân kéo dài nhiều năm. Nội dung đã được biên tập thành truyện Việt mới, không phải bản dịch nguyên văn. Nếu thấy ý nghĩa, cô chú anh chị nhớ bật chuông và để lại bình luận. #goctruyen #kechuyentuoiGia #nhanqua</t>
        </is>
      </c>
      <c r="AI5" s="11" t="inlineStr">
        <is>
          <t>Hình: Cận cảnh hai thế hệ đối đầu trong căn nhà làng quê, chủ đề tranh chấp thừa kế | Màu: đỏ sẫm, vàng ấm, đen | Chữ: SỰ THẬT LỘ RA</t>
        </is>
      </c>
      <c r="AJ5" s="11" t="inlineStr">
        <is>
          <t>Hình: Người mẹ già ngồi bên mâm cơm nguội, phía sau là các con đang tranh cãi | Màu: xanh đêm, cam, trắng | Chữ: KHÔNG AI NUÔI MẸ</t>
        </is>
      </c>
      <c r="AK5" s="11" t="inlineStr">
        <is>
          <t>Hình: Một tờ giấy quan trọng trên bàn thờ, mọi người bàng hoàng nhìn nhau | Màu: nâu gỗ, đỏ, vàng | Chữ: TỜ GIẤY CUỐI CÙNG</t>
        </is>
      </c>
      <c r="AL5" s="11" t="inlineStr">
        <is>
          <t>Phần 1 — Mở nút: Giới thiệu kẻ tham gia sản và biến cố về tranh chấp thừa kế.
Phần 2 — Leo thang: Mâu thuẫn gia đình dồn dập, các nhân vật buộc phải chọn bên.
Phần 3 — Cao trào: Một sự thật quan trọng xuất hiện; dừng trước kết cục để biên tập phát triển truyện mới.</t>
        </is>
      </c>
      <c r="AM5" s="11" t="inlineStr">
        <is>
          <t>Kẻ tham gia sản, Người mẹ già hy sinh</t>
        </is>
      </c>
      <c r="AN5" s="12" t="inlineStr">
        <is>
          <t>analyzed</t>
        </is>
      </c>
      <c r="AO5" s="12" t="inlineStr"/>
      <c r="AP5" s="11" t="inlineStr">
        <is>
          <t>heuristic</t>
        </is>
      </c>
      <c r="AQ5" s="11" t="inlineStr"/>
    </row>
    <row r="6" ht="48" customHeight="1">
      <c r="A6" s="9" t="inlineStr">
        <is>
          <t>idea_2e4e5c8c6fbadd16</t>
        </is>
      </c>
      <c r="B6" s="10" t="inlineStr">
        <is>
          <t>Không</t>
        </is>
      </c>
      <c r="C6" s="11" t="inlineStr">
        <is>
          <t>婆媳矛盾：老人被赶出家门</t>
        </is>
      </c>
      <c r="D6" s="11" t="inlineStr">
        <is>
          <t>Zhihu 盐选</t>
        </is>
      </c>
      <c r="E6" s="11" t="inlineStr">
        <is>
          <t>https://www.zhihu.com/</t>
        </is>
      </c>
      <c r="F6" s="11" t="inlineStr"/>
      <c r="G6" s="11" t="inlineStr"/>
      <c r="H6" s="12" t="inlineStr">
        <is>
          <t>Con cái bất hiếu</t>
        </is>
      </c>
      <c r="I6" s="12" t="inlineStr">
        <is>
          <t>Sốc</t>
        </is>
      </c>
      <c r="J6" s="12" t="n">
        <v>4</v>
      </c>
      <c r="K6" s="12" t="n">
        <v>8</v>
      </c>
      <c r="L6" s="11">
        <f>ROUND(J6*'Cấu hình'!$B$2+K6*'Cấu hình'!$B$3+IF(S6="Cao",10,IF(S6="Trung",6,3))*'Cấu hình'!$B$4,1)</f>
        <v/>
      </c>
      <c r="M6" s="12" t="inlineStr">
        <is>
          <t>Con cái bất hiếu, Tranh chấp thừa kế, Mẹ chồng nàng dâu</t>
        </is>
      </c>
      <c r="N6" s="12" t="inlineStr">
        <is>
          <t>Series Con cái bất hiếu · Người mẹ già hy sinh</t>
        </is>
      </c>
      <c r="O6" s="12" t="inlineStr">
        <is>
          <t>Con cái bất hiếu, Tranh chấp thừa kế, Mẹ chồng nàng dâu, Sốc, chuyện gia đình, tuổi già, nhân quả</t>
        </is>
      </c>
      <c r="P6" s="12" t="inlineStr">
        <is>
          <t>kể chuyện đêm khuya, chuyện tuổi già, chuyện làng quê, Con cái bất hiếu, Tranh chấp thừa kế, Mẹ chồng nàng dâu</t>
        </is>
      </c>
      <c r="Q6" s="11" t="n">
        <v>14210</v>
      </c>
      <c r="R6" s="11">
        <f>ROUND(Q6/'Cấu hình'!$B$7,1)</f>
        <v/>
      </c>
      <c r="S6" s="12" t="inlineStr">
        <is>
          <t>Cao</t>
        </is>
      </c>
      <c r="T6" s="11">
        <f>IF(L6&gt;='Cấu hình'!$B$5,"Nên làm",IF(L6&gt;='Cấu hình'!$B$6,"Chờ đợi","Không nên làm"))</f>
        <v/>
      </c>
      <c r="U6" s="12" t="inlineStr">
        <is>
          <t>19:30–21:00, ưu tiên Thứ Năm hoặc Chủ Nhật</t>
        </is>
      </c>
      <c r="V6" s="11" t="inlineStr">
        <is>
          <t>Nghe Mà Thấm : BA NGƯỜI CON TRANH NHÀ NHƯNG KHÔNG AI NUÔI MẸ | Kể Chuyện Đêm Khuya</t>
        </is>
      </c>
      <c r="W6" s="11" t="inlineStr">
        <is>
          <t>Nghe THẤM Tận Xương : BA NGƯỜI CON TRANH NHÀ NHƯNG KHÔNG AI NUÔI MẸ | Đọc Truyện Đêm Khuya</t>
        </is>
      </c>
      <c r="X6" s="11" t="inlineStr">
        <is>
          <t>Nghe Là Khóc : BA NGƯỜI CON TRANH NHÀ NHƯNG KHÔNG AI NUÔI MẸ | Kể Chuyện Tuổi Già</t>
        </is>
      </c>
      <c r="Y6" s="11" t="inlineStr">
        <is>
          <t>Nghe Mà Nghẹn Lòng : BA NGƯỜI CON TRANH NHÀ NHƯNG KHÔNG AI NUÔI MẸ | Kể Chuyện Làng Quê</t>
        </is>
      </c>
      <c r="Z6" s="11" t="inlineStr">
        <is>
          <t>Nghe Mà Rơi Nước Mắt : BA NGƯỜI CON TRANH NHÀ NHƯNG KHÔNG AI NUÔI MẸ SAU BỮA | Kể Chuyện Đêm Khuya</t>
        </is>
      </c>
      <c r="AA6" s="11" t="inlineStr">
        <is>
          <t>Nghe Sướng Lỗ Tai : BA NGƯỜI CON TRANH NHÀ NHƯNG KHÔNG AI NUÔI MẸ | Kể Chuyện Tuổi Già</t>
        </is>
      </c>
      <c r="AB6" s="11" t="inlineStr">
        <is>
          <t>Nghe Mà Sốc : BA NGƯỜI CON TRANH NHÀ NHƯNG KHÔNG AI NUÔI MẸ | Đọc Truyện Đêm Khuya</t>
        </is>
      </c>
      <c r="AC6" s="11" t="inlineStr">
        <is>
          <t>Truyện Ngắn Tuổi Xế Chiều Cực Hay : BA NGƯỜI CON TRANH NHÀ NHƯNG KHÔNG AI | Kể Chuyện Làng Quê</t>
        </is>
      </c>
      <c r="AD6" s="11" t="inlineStr">
        <is>
          <t>Nghe Mà Thấm : BA NGƯỜI CON TRANH NHÀ NHƯNG KHÔNG AI NUÔI MẸ | Kể Chuyện Tuổi Già</t>
        </is>
      </c>
      <c r="AE6" s="11" t="inlineStr">
        <is>
          <t>Nghe Mà Sốc : BA NGƯỜI CON TRANH NHÀ NHƯNG KHÔNG AI NUÔI MẸ | Kể Chuyện Đêm Khuya</t>
        </is>
      </c>
      <c r="AF6" s="11" t="inlineStr">
        <is>
          <t>Một biến cố về con cái bất hiếu đã đẩy cả gia đình đến lúc phải đối diện sự thật. Câu chuyện mang màu sắc sốc, có nhiều lớp mâu thuẫn và những lựa chọn khiến người nghe phải suy ngẫm. Câu chuyện được sáng tạo lại từ một mô-típ gia đình, toàn bộ nhân vật và bối cảnh đều hư cấu. Cô chú, anh chị hãy để lại cảm nhận và đăng ký để đồng hành cùng những câu chuyện mới. #kechuyen #tuoigia #giadinh</t>
        </is>
      </c>
      <c r="AG6" s="11" t="inlineStr">
        <is>
          <t>Khi tình thân bị thử thách bởi con cái bất hiếu, ai mới là người giữ được nghĩa tình? Bản kể tập trung vào xung đột đời thường, cách đối nhân xử thế và bài học dành cho mỗi gia đình Việt. Câu chuyện được sáng tạo lại từ một mô-típ gia đình, toàn bộ nhân vật và bối cảnh đều hư cấu. Mời mọi người nghe đến cuối và chia sẻ góc nhìn của mình. #truyendemkhuya #langque #chuyengiadinh</t>
        </is>
      </c>
      <c r="AH6" s="11" t="inlineStr">
        <is>
          <t>Từ một tình huống sốc, câu chuyện mở ra những bí mật, hiểu lầm và món nợ tình thân kéo dài nhiều năm. Nội dung đã được biên tập thành truyện Việt mới, không phải bản dịch nguyên văn. Nếu thấy ý nghĩa, cô chú anh chị nhớ bật chuông và để lại bình luận. #goctruyen #kechuyentuoiGia #nhanqua</t>
        </is>
      </c>
      <c r="AI6" s="11" t="inlineStr">
        <is>
          <t>Hình: Cận cảnh hai thế hệ đối đầu trong căn nhà làng quê, chủ đề con cái bất hiếu | Màu: đỏ sẫm, vàng ấm, đen | Chữ: SỰ THẬT LỘ RA</t>
        </is>
      </c>
      <c r="AJ6" s="11" t="inlineStr">
        <is>
          <t>Hình: Người mẹ già ngồi bên mâm cơm nguội, phía sau là các con đang tranh cãi | Màu: xanh đêm, cam, trắng | Chữ: KHÔNG AI NUÔI MẸ</t>
        </is>
      </c>
      <c r="AK6" s="11" t="inlineStr">
        <is>
          <t>Hình: Một tờ giấy quan trọng trên bàn thờ, mọi người bàng hoàng nhìn nhau | Màu: nâu gỗ, đỏ, vàng | Chữ: TỜ GIẤY CUỐI CÙNG</t>
        </is>
      </c>
      <c r="AL6" s="11" t="inlineStr">
        <is>
          <t>Phần 1 — Mở nút: Giới thiệu người mẹ già hy sinh và biến cố về con cái bất hiếu.
Phần 2 — Leo thang: Mâu thuẫn gia đình dồn dập, các nhân vật buộc phải chọn bên.
Phần 3 — Cao trào: Một sự thật quan trọng xuất hiện; dừng trước kết cục để biên tập phát triển truyện mới.</t>
        </is>
      </c>
      <c r="AM6" s="11" t="inlineStr">
        <is>
          <t>Người mẹ già hy sinh, Người mẹ chồng khắc nghiệt, Nàng dâu chịu thương chịu khó, Kẻ tham gia sản</t>
        </is>
      </c>
      <c r="AN6" s="12" t="inlineStr">
        <is>
          <t>analyzed</t>
        </is>
      </c>
      <c r="AO6" s="12" t="inlineStr"/>
      <c r="AP6" s="11" t="inlineStr">
        <is>
          <t>heuristic</t>
        </is>
      </c>
      <c r="AQ6" s="11" t="inlineStr"/>
    </row>
    <row r="7" ht="48" customHeight="1">
      <c r="A7" s="9" t="inlineStr">
        <is>
          <t>idea_fa33f140d536be32</t>
        </is>
      </c>
      <c r="B7" s="10" t="inlineStr">
        <is>
          <t>Không</t>
        </is>
      </c>
      <c r="C7" s="11" t="inlineStr">
        <is>
          <t>AITA for refusing to pay my father's nursing home?</t>
        </is>
      </c>
      <c r="D7" s="11" t="inlineStr">
        <is>
          <t>Reddit AITA</t>
        </is>
      </c>
      <c r="E7" s="11" t="inlineStr">
        <is>
          <t>https://www.reddit.com/r/AmItheAsshole</t>
        </is>
      </c>
      <c r="F7" s="11" t="inlineStr"/>
      <c r="G7" s="11" t="inlineStr"/>
      <c r="H7" s="12" t="inlineStr">
        <is>
          <t>Cô đơn tuổi già</t>
        </is>
      </c>
      <c r="I7" s="12" t="inlineStr">
        <is>
          <t>Nghẹn lòng</t>
        </is>
      </c>
      <c r="J7" s="12" t="n">
        <v>9</v>
      </c>
      <c r="K7" s="12" t="n">
        <v>3</v>
      </c>
      <c r="L7" s="11">
        <f>ROUND(J7*'Cấu hình'!$B$2+K7*'Cấu hình'!$B$3+IF(S7="Cao",10,IF(S7="Trung",6,3))*'Cấu hình'!$B$4,1)</f>
        <v/>
      </c>
      <c r="M7" s="12" t="inlineStr">
        <is>
          <t>Cô đơn tuổi già, Tranh chấp thừa kế, Gia đình và lòng tham</t>
        </is>
      </c>
      <c r="N7" s="12" t="inlineStr">
        <is>
          <t>Series Cô đơn tuổi già · Người thân trong gia đình</t>
        </is>
      </c>
      <c r="O7" s="12" t="inlineStr">
        <is>
          <t>Cô đơn tuổi già, Tranh chấp thừa kế, Gia đình và lòng tham, Nghẹn lòng, chuyện gia đình, tuổi già, nhân quả</t>
        </is>
      </c>
      <c r="P7" s="12" t="inlineStr">
        <is>
          <t>kể chuyện đêm khuya, chuyện tuổi già, chuyện làng quê, Cô đơn tuổi già, Tranh chấp thừa kế, Gia đình và lòng tham</t>
        </is>
      </c>
      <c r="Q7" s="11" t="n">
        <v>4930</v>
      </c>
      <c r="R7" s="11">
        <f>ROUND(Q7/'Cấu hình'!$B$7,1)</f>
        <v/>
      </c>
      <c r="S7" s="12" t="inlineStr">
        <is>
          <t>Cao</t>
        </is>
      </c>
      <c r="T7" s="11">
        <f>IF(L7&gt;='Cấu hình'!$B$5,"Nên làm",IF(L7&gt;='Cấu hình'!$B$6,"Chờ đợi","Không nên làm"))</f>
        <v/>
      </c>
      <c r="U7" s="12" t="inlineStr">
        <is>
          <t>19:30–21:00, ưu tiên Thứ Năm hoặc Chủ Nhật</t>
        </is>
      </c>
      <c r="V7" s="11" t="inlineStr">
        <is>
          <t>Nghe Mà Thấm : AITA FOR REFUSING TO PAY MY FATHER'S NURSING HOME? | Kể Chuyện Đêm Khuya</t>
        </is>
      </c>
      <c r="W7" s="11" t="inlineStr">
        <is>
          <t>Nghe THẤM Tận Xương : AITA FOR REFUSING TO PAY MY FATHER'S NURSING HOME? | Đọc Truyện Đêm Khuya</t>
        </is>
      </c>
      <c r="X7" s="11" t="inlineStr">
        <is>
          <t>Nghe Là Khóc : AITA FOR REFUSING TO PAY MY FATHER'S NURSING HOME? | Kể Chuyện Tuổi Già</t>
        </is>
      </c>
      <c r="Y7" s="11" t="inlineStr">
        <is>
          <t>Nghe Mà Nghẹn Lòng : AITA FOR REFUSING TO PAY MY FATHER'S NURSING HOME? | Kể Chuyện Làng Quê</t>
        </is>
      </c>
      <c r="Z7" s="11" t="inlineStr">
        <is>
          <t>Nghe Mà Rơi Nước Mắt : AITA FOR REFUSING TO PAY MY FATHER'S NURSING HOME? | Kể Chuyện Đêm Khuya</t>
        </is>
      </c>
      <c r="AA7" s="11" t="inlineStr">
        <is>
          <t>Nghe Sướng Lỗ Tai : AITA FOR REFUSING TO PAY MY FATHER'S NURSING HOME? | Kể Chuyện Tuổi Già</t>
        </is>
      </c>
      <c r="AB7" s="11" t="inlineStr">
        <is>
          <t>Nghe Mà Sốc : AITA FOR REFUSING TO PAY MY FATHER'S NURSING HOME? | Đọc Truyện Đêm Khuya</t>
        </is>
      </c>
      <c r="AC7" s="11" t="inlineStr">
        <is>
          <t>Truyện Ngắn Tuổi Xế Chiều Cực Hay : AITA FOR REFUSING TO PAY MY FATHER'S | Kể Chuyện Làng Quê</t>
        </is>
      </c>
      <c r="AD7" s="11" t="inlineStr">
        <is>
          <t>Nghe Mà Thấm : AITA FOR REFUSING TO PAY MY FATHER'S NURSING HOME? | Kể Chuyện Tuổi Già</t>
        </is>
      </c>
      <c r="AE7" s="11" t="inlineStr">
        <is>
          <t>Nghe Mà Sốc : AITA FOR REFUSING TO PAY MY FATHER'S NURSING HOME? | Kể Chuyện Đêm Khuya</t>
        </is>
      </c>
      <c r="AF7" s="11" t="inlineStr">
        <is>
          <t>Một biến cố về cô đơn tuổi già đã đẩy cả gia đình đến lúc phải đối diện sự thật. Câu chuyện mang màu sắc nghẹn lòng, có nhiều lớp mâu thuẫn và những lựa chọn khiến người nghe phải suy ngẫm. Câu chuyện được sáng tạo lại từ một mô-típ gia đình, toàn bộ nhân vật và bối cảnh đều hư cấu. Cô chú, anh chị hãy để lại cảm nhận và đăng ký để đồng hành cùng những câu chuyện mới. #kechuyen #tuoigia #giadinh</t>
        </is>
      </c>
      <c r="AG7" s="11" t="inlineStr">
        <is>
          <t>Khi tình thân bị thử thách bởi cô đơn tuổi già, ai mới là người giữ được nghĩa tình? Bản kể tập trung vào xung đột đời thường, cách đối nhân xử thế và bài học dành cho mỗi gia đình Việt. Câu chuyện được sáng tạo lại từ một mô-típ gia đình, toàn bộ nhân vật và bối cảnh đều hư cấu. Mời mọi người nghe đến cuối và chia sẻ góc nhìn của mình. #truyendemkhuya #langque #chuyengiadinh</t>
        </is>
      </c>
      <c r="AH7" s="11" t="inlineStr">
        <is>
          <t>Từ một tình huống nghẹn lòng, câu chuyện mở ra những bí mật, hiểu lầm và món nợ tình thân kéo dài nhiều năm. Nội dung đã được biên tập thành truyện Việt mới, không phải bản dịch nguyên văn. Nếu thấy ý nghĩa, cô chú anh chị nhớ bật chuông và để lại bình luận. #goctruyen #kechuyentuoiGia #nhanqua</t>
        </is>
      </c>
      <c r="AI7" s="11" t="inlineStr">
        <is>
          <t>Hình: Cận cảnh hai thế hệ đối đầu trong căn nhà làng quê, chủ đề cô đơn tuổi già | Màu: đỏ sẫm, vàng ấm, đen | Chữ: SỰ THẬT LỘ RA</t>
        </is>
      </c>
      <c r="AJ7" s="11" t="inlineStr">
        <is>
          <t>Hình: Người mẹ già ngồi bên mâm cơm nguội, phía sau là các con đang tranh cãi | Màu: xanh đêm, cam, trắng | Chữ: KHÔNG AI NUÔI MẸ</t>
        </is>
      </c>
      <c r="AK7" s="11" t="inlineStr">
        <is>
          <t>Hình: Một tờ giấy quan trọng trên bàn thờ, mọi người bàng hoàng nhìn nhau | Màu: nâu gỗ, đỏ, vàng | Chữ: TỜ GIẤY CUỐI CÙNG</t>
        </is>
      </c>
      <c r="AL7" s="11" t="inlineStr">
        <is>
          <t>Phần 1 — Mở nút: Giới thiệu người thân trong gia đình và biến cố về cô đơn tuổi già.
Phần 2 — Leo thang: Mâu thuẫn gia đình dồn dập, các nhân vật buộc phải chọn bên.
Phần 3 — Cao trào: Một sự thật quan trọng xuất hiện; dừng trước kết cục để biên tập phát triển truyện mới.</t>
        </is>
      </c>
      <c r="AM7" s="11" t="inlineStr">
        <is>
          <t>Người thân trong gia đình</t>
        </is>
      </c>
      <c r="AN7" s="12" t="inlineStr">
        <is>
          <t>analyzed</t>
        </is>
      </c>
      <c r="AO7" s="12" t="inlineStr"/>
      <c r="AP7" s="11" t="inlineStr">
        <is>
          <t>heuristic</t>
        </is>
      </c>
      <c r="AQ7" s="11" t="inlineStr"/>
    </row>
  </sheetData>
  <autoFilter ref="A4:AQ7"/>
  <mergeCells count="2">
    <mergeCell ref="A1:AQ1"/>
    <mergeCell ref="A2:AQ2"/>
  </mergeCells>
  <conditionalFormatting sqref="J5:J7">
    <cfRule type="colorScale" priority="1">
      <colorScale>
        <cfvo type="num" val="1"/>
        <cfvo type="num" val="6"/>
        <cfvo type="num" val="10"/>
        <color rgb="00FEE2E2"/>
        <color rgb="00FEF3C7"/>
        <color rgb="00DCFCE7"/>
      </colorScale>
    </cfRule>
  </conditionalFormatting>
  <conditionalFormatting sqref="K5:K7">
    <cfRule type="colorScale" priority="2">
      <colorScale>
        <cfvo type="num" val="1"/>
        <cfvo type="num" val="6"/>
        <cfvo type="num" val="10"/>
        <color rgb="00FEE2E2"/>
        <color rgb="00FEF3C7"/>
        <color rgb="00DCFCE7"/>
      </colorScale>
    </cfRule>
  </conditionalFormatting>
  <conditionalFormatting sqref="L5:L7">
    <cfRule type="colorScale" priority="3">
      <colorScale>
        <cfvo type="num" val="1"/>
        <cfvo type="num" val="6"/>
        <cfvo type="num" val="10"/>
        <color rgb="00FEE2E2"/>
        <color rgb="00FEF3C7"/>
        <color rgb="00DCFCE7"/>
      </colorScale>
    </cfRule>
  </conditionalFormatting>
  <conditionalFormatting sqref="T5:T7">
    <cfRule type="expression" priority="4" dxfId="0">
      <formula>$T5="Nên làm"</formula>
    </cfRule>
    <cfRule type="expression" priority="5" dxfId="1">
      <formula>$T5="Chờ đợi"</formula>
    </cfRule>
    <cfRule type="expression" priority="6" dxfId="2">
      <formula>$T5="Không nên làm"</formula>
    </cfRule>
  </conditionalFormatting>
  <dataValidations count="3">
    <dataValidation sqref="B5:B7" showDropDown="0" showInputMessage="0" showErrorMessage="0" allowBlank="0" type="list">
      <formula1>"Có,Không"</formula1>
    </dataValidation>
    <dataValidation sqref="S5:S7" showDropDown="0" showInputMessage="0" showErrorMessage="0" allowBlank="0" type="list">
      <formula1>"Cao,Trung,Thấp"</formula1>
    </dataValidation>
    <dataValidation sqref="AN5:AN7" showDropDown="0" showInputMessage="0" showErrorMessage="0" allowBlank="0" type="list">
      <formula1>"Chưa làm,Đang viết,Đã duyệt,Đang dựng,Đã đăng,Tạm hoãn"</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18" customWidth="1" min="3" max="3"/>
    <col width="18" customWidth="1" min="4" max="4"/>
    <col width="42" customWidth="1" min="5" max="5"/>
  </cols>
  <sheetData>
    <row r="1">
      <c r="A1" s="13" t="inlineStr">
        <is>
          <t>Series</t>
        </is>
      </c>
      <c r="B1" s="13" t="inlineStr">
        <is>
          <t>Số ý tưởng</t>
        </is>
      </c>
      <c r="C1" s="13" t="inlineStr">
        <is>
          <t>Hook trung bình</t>
        </is>
      </c>
      <c r="D1" s="13" t="inlineStr">
        <is>
          <t>Twist trung bình</t>
        </is>
      </c>
      <c r="E1" s="13" t="inlineStr">
        <is>
          <t>Chủ đề đại diện</t>
        </is>
      </c>
    </row>
    <row r="2">
      <c r="A2" t="inlineStr">
        <is>
          <t>Series Con cái bất hiếu · Người mẹ già hy sinh</t>
        </is>
      </c>
      <c r="B2">
        <f>COUNTIF('Kế hoạch sản xuất'!$N$5:$N$7,A2)</f>
        <v/>
      </c>
      <c r="C2">
        <f>IFERROR(AVERAGEIF('Kế hoạch sản xuất'!$N$5:$N$7,A2,'Kế hoạch sản xuất'!$J$5:$J$7),0)</f>
        <v/>
      </c>
      <c r="D2">
        <f>IFERROR(AVERAGEIF('Kế hoạch sản xuất'!$N$5:$N$7,A2,'Kế hoạch sản xuất'!$K$5:$K$7),0)</f>
        <v/>
      </c>
      <c r="E2" t="inlineStr">
        <is>
          <t>Con cái bất hiếu, Tranh chấp thừa kế, Mẹ chồng nàng dâu</t>
        </is>
      </c>
    </row>
    <row r="3">
      <c r="A3" t="inlineStr">
        <is>
          <t>Series Cô đơn tuổi già · Người thân trong gia đình</t>
        </is>
      </c>
      <c r="B3">
        <f>COUNTIF('Kế hoạch sản xuất'!$N$5:$N$7,A3)</f>
        <v/>
      </c>
      <c r="C3">
        <f>IFERROR(AVERAGEIF('Kế hoạch sản xuất'!$N$5:$N$7,A3,'Kế hoạch sản xuất'!$J$5:$J$7),0)</f>
        <v/>
      </c>
      <c r="D3">
        <f>IFERROR(AVERAGEIF('Kế hoạch sản xuất'!$N$5:$N$7,A3,'Kế hoạch sản xuất'!$K$5:$K$7),0)</f>
        <v/>
      </c>
      <c r="E3" t="inlineStr">
        <is>
          <t>Cô đơn tuổi già, Tranh chấp thừa kế, Gia đình và lòng tham</t>
        </is>
      </c>
    </row>
    <row r="4">
      <c r="A4" t="inlineStr">
        <is>
          <t>Series Tranh chấp thừa kế · Kẻ tham gia sản</t>
        </is>
      </c>
      <c r="B4">
        <f>COUNTIF('Kế hoạch sản xuất'!$N$5:$N$7,A4)</f>
        <v/>
      </c>
      <c r="C4">
        <f>IFERROR(AVERAGEIF('Kế hoạch sản xuất'!$N$5:$N$7,A4,'Kế hoạch sản xuất'!$J$5:$J$7),0)</f>
        <v/>
      </c>
      <c r="D4">
        <f>IFERROR(AVERAGEIF('Kế hoạch sản xuất'!$N$5:$N$7,A4,'Kế hoạch sản xuất'!$K$5:$K$7),0)</f>
        <v/>
      </c>
      <c r="E4" t="inlineStr">
        <is>
          <t>Tranh chấp thừa kế, Cô đơn tuổi già</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16" customWidth="1" min="3" max="3"/>
    <col width="35" customWidth="1" min="4" max="4"/>
    <col width="12" customWidth="1" min="5" max="5"/>
    <col width="12" customWidth="1" min="6" max="6"/>
    <col width="85" customWidth="1" min="7" max="7"/>
    <col width="85" customWidth="1" min="8" max="8"/>
  </cols>
  <sheetData>
    <row r="1">
      <c r="A1" s="13" t="inlineStr">
        <is>
          <t>ID</t>
        </is>
      </c>
      <c r="B1" s="13" t="inlineStr">
        <is>
          <t>Tiêu đề gốc</t>
        </is>
      </c>
      <c r="C1" s="13" t="inlineStr">
        <is>
          <t>Nguồn</t>
        </is>
      </c>
      <c r="D1" s="13" t="inlineStr">
        <is>
          <t>URL nguồn</t>
        </is>
      </c>
      <c r="E1" s="13" t="inlineStr">
        <is>
          <t>Ngôn ngữ</t>
        </is>
      </c>
      <c r="F1" s="13" t="inlineStr">
        <is>
          <t>Số từ</t>
        </is>
      </c>
      <c r="G1" s="13" t="inlineStr">
        <is>
          <t>Nội dung đang dùng</t>
        </is>
      </c>
      <c r="H1" s="13" t="inlineStr">
        <is>
          <t>Nội dung thô</t>
        </is>
      </c>
    </row>
    <row r="2" ht="72" customHeight="1">
      <c r="A2" t="inlineStr">
        <is>
          <t>idea_1b40457fa3ad1a9a</t>
        </is>
      </c>
      <c r="B2" t="inlineStr">
        <is>
          <t>Ba người con tranh căn nhà của mẹ già</t>
        </is>
      </c>
      <c r="C2" t="inlineStr">
        <is>
          <t>VnExpress Tâm sự</t>
        </is>
      </c>
      <c r="D2" t="inlineStr">
        <is>
          <t>https://vnexpress.net/tam-su</t>
        </is>
      </c>
      <c r="E2" t="inlineStr">
        <is>
          <t>vi</t>
        </is>
      </c>
      <c r="F2" t="n">
        <v>5640</v>
      </c>
      <c r="G2" s="11" t="inlineStr">
        <is>
          <t>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t>
        </is>
      </c>
      <c r="H2" s="11" t="inlineStr">
        <is>
          <t>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 Bà Hòa đã ngoài bảy mươi, sống một mình trong căn nhà cấp bốn. Ba người con chỉ trở về khi nghe tin bà định lập di chúc. Trong bữa cơm giỗ, một tờ giấy cũ bất ngờ xuất hiện khiến mọi người tranh cãi dữ dội.</t>
        </is>
      </c>
    </row>
    <row r="3" ht="72" customHeight="1">
      <c r="A3" t="inlineStr">
        <is>
          <t>idea_2e4e5c8c6fbadd16</t>
        </is>
      </c>
      <c r="B3" t="inlineStr">
        <is>
          <t>婆媳矛盾：老人被赶出家门</t>
        </is>
      </c>
      <c r="C3" t="inlineStr">
        <is>
          <t>Zhihu 盐选</t>
        </is>
      </c>
      <c r="D3" t="inlineStr">
        <is>
          <t>https://www.zhihu.com/</t>
        </is>
      </c>
      <c r="E3" t="inlineStr">
        <is>
          <t>zh</t>
        </is>
      </c>
      <c r="F3" t="n">
        <v>14210</v>
      </c>
      <c r="G3" s="11" t="inlineStr">
        <is>
          <t>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t>
        </is>
      </c>
      <c r="H3" s="11" t="inlineStr">
        <is>
          <t>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婆婆和儿媳因为赡养和房产发生矛盾，老人被赶出家门。后来一份遗产文件揭开真相。</t>
        </is>
      </c>
    </row>
    <row r="4" ht="72" customHeight="1">
      <c r="A4" t="inlineStr">
        <is>
          <t>idea_fa33f140d536be32</t>
        </is>
      </c>
      <c r="B4" t="inlineStr">
        <is>
          <t>AITA for refusing to pay my father's nursing home?</t>
        </is>
      </c>
      <c r="C4" t="inlineStr">
        <is>
          <t>Reddit AITA</t>
        </is>
      </c>
      <c r="D4" t="inlineStr">
        <is>
          <t>https://www.reddit.com/r/AmItheAsshole</t>
        </is>
      </c>
      <c r="E4" t="inlineStr">
        <is>
          <t>en</t>
        </is>
      </c>
      <c r="F4" t="n">
        <v>4930</v>
      </c>
      <c r="G4" s="11" t="inlineStr">
        <is>
          <t>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t>
        </is>
      </c>
      <c r="H4" s="11" t="inlineStr">
        <is>
          <t>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 My siblings argued about who should care for our elderly father after our mother died. Everyone wanted the inheritance, but nobody agreed to visit him at the nursing home.</t>
        </is>
      </c>
    </row>
  </sheetData>
  <autoFilter ref="A1:H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42" customWidth="1" min="3" max="3"/>
  </cols>
  <sheetData>
    <row r="1">
      <c r="A1" s="13" t="inlineStr">
        <is>
          <t>Tham số</t>
        </is>
      </c>
      <c r="B1" s="13" t="inlineStr">
        <is>
          <t>Giá trị</t>
        </is>
      </c>
      <c r="C1" s="13" t="inlineStr">
        <is>
          <t>Ý nghĩa</t>
        </is>
      </c>
    </row>
    <row r="2">
      <c r="A2" t="inlineStr">
        <is>
          <t>Trọng số Hook</t>
        </is>
      </c>
      <c r="B2" s="14" t="n">
        <v>0.45</v>
      </c>
      <c r="C2" t="inlineStr">
        <is>
          <t>Tỷ trọng trong điểm ưu tiên</t>
        </is>
      </c>
    </row>
    <row r="3">
      <c r="A3" t="inlineStr">
        <is>
          <t>Trọng số Plot Twist</t>
        </is>
      </c>
      <c r="B3" s="14" t="n">
        <v>0.4</v>
      </c>
      <c r="C3" t="inlineStr">
        <is>
          <t>Tỷ trọng trong điểm ưu tiên</t>
        </is>
      </c>
    </row>
    <row r="4">
      <c r="A4" t="inlineStr">
        <is>
          <t>Trọng số Dễ sản xuất</t>
        </is>
      </c>
      <c r="B4" s="14" t="n">
        <v>0.15</v>
      </c>
      <c r="C4" t="inlineStr">
        <is>
          <t>Cao=10, Trung=6, Thấp=3</t>
        </is>
      </c>
    </row>
    <row r="5">
      <c r="A5" t="inlineStr">
        <is>
          <t>Ngưỡng Nên làm</t>
        </is>
      </c>
      <c r="B5" s="15" t="n">
        <v>7.2</v>
      </c>
      <c r="C5" t="inlineStr">
        <is>
          <t>Điểm ưu tiên tối thiểu</t>
        </is>
      </c>
    </row>
    <row r="6">
      <c r="A6" t="inlineStr">
        <is>
          <t>Ngưỡng Chờ đợi</t>
        </is>
      </c>
      <c r="B6" s="15" t="n">
        <v>5.5</v>
      </c>
      <c r="C6" t="inlineStr">
        <is>
          <t>Dưới mức này là Không nên làm</t>
        </is>
      </c>
    </row>
    <row r="7">
      <c r="A7" t="inlineStr">
        <is>
          <t>Tốc độ đọc (từ/phút)</t>
        </is>
      </c>
      <c r="B7" s="15" t="n">
        <v>150</v>
      </c>
      <c r="C7" t="inlineStr">
        <is>
          <t>Dùng ước lượng thời lượng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32" customWidth="1" min="1" max="1"/>
    <col width="110" customWidth="1" min="2" max="2"/>
  </cols>
  <sheetData>
    <row r="1">
      <c r="A1" s="13" t="inlineStr">
        <is>
          <t>Nhiệm vụ</t>
        </is>
      </c>
      <c r="B1" s="13" t="inlineStr">
        <is>
          <t>Prompt mẫu</t>
        </is>
      </c>
    </row>
    <row r="2" ht="150" customHeight="1">
      <c r="A2" t="inlineStr">
        <is>
          <t>Đánh giá + kế hoạch đa tầng</t>
        </is>
      </c>
      <c r="B2" s="11" t="inlineStr">
        <is>
          <t>Bạn là biên tập viên chiến lược nội dung YouTube Việt Nam,
chuyên audio chuyện gia đình và tuổi già cho khán giả 45+. Chỉ lấy mô-típ và
tình huống để sáng tạo lại; không dịch hay sao chép nguyên văn nguồn.
Hãy trả về MỘT JSON thuần, không markdown, theo đúng schema:
{
  "primary_genre":"...", "emotion":"...", "hook_score":1,
  "plot_twist_score":1, "themes":["..."], "archetypes":["..."],
  "keywords":["..."], "tags":["..."], "series":"...",
  "titles":[10 chuỗi], "descriptions":[3 chuỗi],
  "thumbnails":[{"description":"...","colors":"...","text":"..."}, ...3],
  "outline":"Phần 1: ...
Phần 2: ...
Phần 3: ...",
  "main_characters":["..."], "production_ease":"Cao|Trung|Thấp",
  "recommendation":"Nên làm|Chờ đợi|Không nên làm",
  "best_publish_time":"..."
}
Điểm Hook/Plot Twist là số nguyên 1-10. Tiêu đề tuân thủ prompt sau:
Bạn đặt tiêu đề video cho kênh audio Việt Nam "Gốc Mít Kể Chuyện",
khán giả 45 tuổi trở lên. Tạo đúng 10 tiêu đề theo công thức:
[MÓC CẢM XÚC] : [TÌNH HUỐNG CỤ THỂ VIẾT HOA] | [ĐUÔI TỪ KHÓA].
Mỗi tiêu đề không quá 100 ký tự, không tên kênh, không số tập, không tiết lộ
kết thúc. Ưu tiên sự việc cụ thể và con số; không sao chép tiêu đề nguồn.
Mô tả tuân thủ:
Tạo 3 mô tả YouTube tiếng Việt cho truyện audio gia đình,
mỗi mô tả 70-120 từ. Mở bằng tình huống gợi tò mò, nêu giá trị cảm xúc, mời
khán giả bình luận/đăng ký tự nhiên và kết thúc bằng 3-5 hashtag phù hợp. Không
bịa đây là chuyện thật và không tiết lộ kết thúc.</t>
        </is>
      </c>
    </row>
    <row r="3" ht="150" customHeight="1">
      <c r="A3" t="inlineStr">
        <is>
          <t>Tạo 10 tiêu đề</t>
        </is>
      </c>
      <c r="B3" s="11" t="inlineStr">
        <is>
          <t>Bạn đặt tiêu đề video cho kênh audio Việt Nam "Gốc Mít Kể Chuyện",
khán giả 45 tuổi trở lên. Tạo đúng 10 tiêu đề theo công thức:
[MÓC CẢM XÚC] : [TÌNH HUỐNG CỤ THỂ VIẾT HOA] | [ĐUÔI TỪ KHÓA].
Mỗi tiêu đề không quá 100 ký tự, không tên kênh, không số tập, không tiết lộ
kết thúc. Ưu tiên sự việc cụ thể và con số; không sao chép tiêu đề nguồn.</t>
        </is>
      </c>
    </row>
    <row r="4" ht="150" customHeight="1">
      <c r="A4" t="inlineStr">
        <is>
          <t>Tạo 3 mô tả</t>
        </is>
      </c>
      <c r="B4" s="11" t="inlineStr">
        <is>
          <t>Tạo 3 mô tả YouTube tiếng Việt cho truyện audio gia đình,
mỗi mô tả 70-120 từ. Mở bằng tình huống gợi tò mò, nêu giá trị cảm xúc, mời
khán giả bình luận/đăng ký tự nhiên và kết thúc bằng 3-5 hashtag phù hợp. Không
bịa đây là chuyện thật và không tiết lộ kết thúc.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2026-08-21T04:27:31Z</dcterms:created>
  <dcterms:modified xsi:type="dcterms:W3CDTF">2026-08-21T04:27:31Z</dcterms:modified>
</cp:coreProperties>
</file>